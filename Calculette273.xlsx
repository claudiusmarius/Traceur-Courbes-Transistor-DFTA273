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FTA273\"/>
    </mc:Choice>
  </mc:AlternateContent>
  <xr:revisionPtr revIDLastSave="0" documentId="13_ncr:1_{F1160C7D-30A3-4FAB-8BF7-CD0F72BA991C}" xr6:coauthVersionLast="47" xr6:coauthVersionMax="47" xr10:uidLastSave="{00000000-0000-0000-0000-000000000000}"/>
  <bookViews>
    <workbookView xWindow="-120" yWindow="-120" windowWidth="29040" windowHeight="15720" xr2:uid="{A5722B05-9CC9-4491-B26C-D8300689A4BA}"/>
  </bookViews>
  <sheets>
    <sheet name="IB IC VCE" sheetId="1" r:id="rId1"/>
    <sheet name="Convers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K29" i="1"/>
  <c r="M22" i="1"/>
  <c r="M23" i="1"/>
  <c r="M24" i="1"/>
  <c r="M25" i="1"/>
  <c r="M26" i="1"/>
  <c r="M21" i="1"/>
  <c r="K22" i="1"/>
  <c r="K23" i="1"/>
  <c r="K24" i="1"/>
  <c r="K25" i="1"/>
  <c r="K26" i="1"/>
  <c r="K21" i="1"/>
  <c r="K17" i="1"/>
  <c r="K16" i="1"/>
  <c r="K15" i="1"/>
  <c r="K14" i="1"/>
  <c r="K13" i="1"/>
  <c r="K12" i="1"/>
  <c r="L7" i="2"/>
  <c r="L6" i="2"/>
  <c r="L3" i="2"/>
  <c r="L4" i="2" s="1"/>
  <c r="O12" i="1"/>
  <c r="Q12" i="1" s="1"/>
  <c r="I10" i="1"/>
  <c r="I13" i="1"/>
  <c r="I17" i="1" l="1"/>
  <c r="I12" i="1"/>
  <c r="I16" i="1"/>
  <c r="I15" i="1"/>
  <c r="I14" i="1"/>
  <c r="M16" i="1" l="1"/>
  <c r="M13" i="1"/>
  <c r="M14" i="1"/>
  <c r="M15" i="1"/>
  <c r="M17" i="1"/>
  <c r="M12" i="1"/>
</calcChain>
</file>

<file path=xl/sharedStrings.xml><?xml version="1.0" encoding="utf-8"?>
<sst xmlns="http://schemas.openxmlformats.org/spreadsheetml/2006/main" count="148" uniqueCount="62">
  <si>
    <t>R10</t>
  </si>
  <si>
    <t>VCC</t>
  </si>
  <si>
    <t>KΩ</t>
  </si>
  <si>
    <t>V</t>
  </si>
  <si>
    <t>R9</t>
  </si>
  <si>
    <t>R17</t>
  </si>
  <si>
    <t>R18</t>
  </si>
  <si>
    <t>R19</t>
  </si>
  <si>
    <t>R20</t>
  </si>
  <si>
    <t>R21</t>
  </si>
  <si>
    <t>R22</t>
  </si>
  <si>
    <t>IE Q2</t>
  </si>
  <si>
    <t>mA</t>
  </si>
  <si>
    <t>Sortie DAC MAX</t>
  </si>
  <si>
    <t>R1</t>
  </si>
  <si>
    <t>R2</t>
  </si>
  <si>
    <t>Rampe VCE</t>
  </si>
  <si>
    <t>Puissance Q2</t>
  </si>
  <si>
    <t>mW</t>
  </si>
  <si>
    <t>R29</t>
  </si>
  <si>
    <t>MODE IC = f(VCE)</t>
  </si>
  <si>
    <t>MODE IC = f(IB)</t>
  </si>
  <si>
    <t>DONNEES DE SORTIE</t>
  </si>
  <si>
    <t>DONNEES D'ENTREE</t>
  </si>
  <si>
    <r>
      <t>D</t>
    </r>
    <r>
      <rPr>
        <b/>
        <sz val="72"/>
        <color theme="0"/>
        <rFont val="Calibri"/>
        <family val="2"/>
        <scheme val="minor"/>
      </rPr>
      <t>DFTA273</t>
    </r>
  </si>
  <si>
    <t>VBEQTEST</t>
  </si>
  <si>
    <t>VR9</t>
  </si>
  <si>
    <t>IC</t>
  </si>
  <si>
    <t>R11</t>
  </si>
  <si>
    <t>R12</t>
  </si>
  <si>
    <t>TP3</t>
  </si>
  <si>
    <t>VBQTEST</t>
  </si>
  <si>
    <t>IB</t>
  </si>
  <si>
    <t>R16 R15</t>
  </si>
  <si>
    <t>R13 R14</t>
  </si>
  <si>
    <t>Image IB</t>
  </si>
  <si>
    <t>TP1</t>
  </si>
  <si>
    <t>TP6</t>
  </si>
  <si>
    <t>R5</t>
  </si>
  <si>
    <t>Ω</t>
  </si>
  <si>
    <t>R6 R8</t>
  </si>
  <si>
    <t>R4 R7</t>
  </si>
  <si>
    <t>VSHUNT</t>
  </si>
  <si>
    <t>ON PEUT PRENDRE 1V pour 0,5mA</t>
  </si>
  <si>
    <t>ON PEUT PRENDRE 1V pour 10mA</t>
  </si>
  <si>
    <t>Le gain en courant est donc</t>
  </si>
  <si>
    <t>ON PEUT SIMPLIFIER</t>
  </si>
  <si>
    <t>1V</t>
  </si>
  <si>
    <t>=</t>
  </si>
  <si>
    <t>100µA</t>
  </si>
  <si>
    <t>IC QTEST</t>
  </si>
  <si>
    <t>ON PEUT DIRE</t>
  </si>
  <si>
    <t>10mA</t>
  </si>
  <si>
    <t>Une seule case pour IC car c'est un parmètre dépendant du chaque transistor, ici la formule donne une valeur en fonction des mesures "effectuées" sur TP1 et TP6</t>
  </si>
  <si>
    <t>En fait ces mesure ne peuvent êffectuées car les autres paramètres sont évolutifs en permanence</t>
  </si>
  <si>
    <t>Il faut donc introduire des valeurs en manu por TP1 et TP6</t>
  </si>
  <si>
    <t>ATTENTION : Toutes les valeurs figurant dans cet encart sont  des valeurs calculées</t>
  </si>
  <si>
    <t>Ne RIEN INTRODUIRE DANS CES CAS SINON VOUS DETRUIRIEZ LES FORMULES QUI S'Y TROUVENT</t>
  </si>
  <si>
    <t>IE Q2 = IBQTEST</t>
  </si>
  <si>
    <t>Les données dans les cases vertes foncées encadrées de rouge sont des données hypothétiques pour simuler</t>
  </si>
  <si>
    <t>Les autres données dans les cases vertes plu claires sont les données issues du tableau des composants</t>
  </si>
  <si>
    <t>IMAGE 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</si>
</sst>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color rgb="FF92D050"/>
      <name val="Calibri"/>
      <family val="2"/>
      <scheme val="minor"/>
    </font>
    <font>
      <b/>
      <sz val="7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22"/>
      <color theme="1"/>
      <name val="Segoe UI Black"/>
      <family val="2"/>
    </font>
    <font>
      <b/>
      <sz val="24"/>
      <color rgb="FFFF0000"/>
      <name val="Calibri"/>
      <family val="2"/>
      <scheme val="minor"/>
    </font>
    <font>
      <b/>
      <sz val="23.5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70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 diagonalUp="1" diagonalDown="1">
      <left style="thick">
        <color auto="1"/>
      </left>
      <right/>
      <top style="thick">
        <color auto="1"/>
      </top>
      <bottom/>
      <diagonal style="thick">
        <color auto="1"/>
      </diagonal>
    </border>
    <border diagonalUp="1" diagonalDown="1">
      <left/>
      <right/>
      <top style="thick">
        <color auto="1"/>
      </top>
      <bottom/>
      <diagonal style="thick">
        <color auto="1"/>
      </diagonal>
    </border>
    <border diagonalUp="1" diagonalDown="1">
      <left/>
      <right style="thick">
        <color auto="1"/>
      </right>
      <top style="thick">
        <color auto="1"/>
      </top>
      <bottom/>
      <diagonal style="thick">
        <color auto="1"/>
      </diagonal>
    </border>
    <border diagonalUp="1" diagonalDown="1">
      <left style="thick">
        <color auto="1"/>
      </left>
      <right/>
      <top/>
      <bottom/>
      <diagonal style="thick">
        <color auto="1"/>
      </diagonal>
    </border>
    <border diagonalUp="1" diagonalDown="1">
      <left/>
      <right/>
      <top/>
      <bottom/>
      <diagonal style="thick">
        <color auto="1"/>
      </diagonal>
    </border>
    <border diagonalUp="1" diagonalDown="1">
      <left/>
      <right style="thick">
        <color auto="1"/>
      </right>
      <top/>
      <bottom/>
      <diagonal style="thick">
        <color auto="1"/>
      </diagonal>
    </border>
    <border diagonalUp="1" diagonalDown="1">
      <left style="thick">
        <color auto="1"/>
      </left>
      <right/>
      <top/>
      <bottom style="thick">
        <color auto="1"/>
      </bottom>
      <diagonal style="thick">
        <color auto="1"/>
      </diagonal>
    </border>
    <border diagonalUp="1" diagonalDown="1">
      <left/>
      <right/>
      <top/>
      <bottom style="thick">
        <color auto="1"/>
      </bottom>
      <diagonal style="thick">
        <color auto="1"/>
      </diagonal>
    </border>
    <border diagonalUp="1" diagonalDown="1">
      <left/>
      <right style="thick">
        <color auto="1"/>
      </right>
      <top/>
      <bottom style="thick">
        <color auto="1"/>
      </bottom>
      <diagonal style="thick">
        <color auto="1"/>
      </diagonal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double">
        <color rgb="FFFF0000"/>
      </top>
      <bottom/>
      <diagonal/>
    </border>
    <border>
      <left/>
      <right style="thick">
        <color auto="1"/>
      </right>
      <top/>
      <bottom style="double">
        <color rgb="FFFF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2" fillId="0" borderId="0" xfId="0" applyFont="1"/>
    <xf numFmtId="0" fontId="3" fillId="2" borderId="4" xfId="0" applyFont="1" applyFill="1" applyBorder="1"/>
    <xf numFmtId="0" fontId="3" fillId="2" borderId="7" xfId="0" applyFont="1" applyFill="1" applyBorder="1"/>
    <xf numFmtId="0" fontId="3" fillId="2" borderId="10" xfId="0" applyFont="1" applyFill="1" applyBorder="1"/>
    <xf numFmtId="0" fontId="2" fillId="3" borderId="6" xfId="0" applyFont="1" applyFill="1" applyBorder="1"/>
    <xf numFmtId="0" fontId="2" fillId="3" borderId="9" xfId="0" applyFont="1" applyFill="1" applyBorder="1"/>
    <xf numFmtId="0" fontId="2" fillId="3" borderId="25" xfId="0" applyFont="1" applyFill="1" applyBorder="1"/>
    <xf numFmtId="0" fontId="2" fillId="3" borderId="12" xfId="0" applyFont="1" applyFill="1" applyBorder="1"/>
    <xf numFmtId="0" fontId="2" fillId="3" borderId="22" xfId="0" applyFont="1" applyFill="1" applyBorder="1"/>
    <xf numFmtId="0" fontId="2" fillId="3" borderId="8" xfId="0" applyFont="1" applyFill="1" applyBorder="1"/>
    <xf numFmtId="0" fontId="2" fillId="3" borderId="11" xfId="0" applyFont="1" applyFill="1" applyBorder="1"/>
    <xf numFmtId="0" fontId="2" fillId="3" borderId="23" xfId="0" applyFont="1" applyFill="1" applyBorder="1"/>
    <xf numFmtId="0" fontId="2" fillId="3" borderId="20" xfId="0" applyFont="1" applyFill="1" applyBorder="1"/>
    <xf numFmtId="0" fontId="2" fillId="3" borderId="21" xfId="0" applyFont="1" applyFill="1" applyBorder="1"/>
    <xf numFmtId="0" fontId="2" fillId="4" borderId="5" xfId="0" applyFont="1" applyFill="1" applyBorder="1"/>
    <xf numFmtId="0" fontId="2" fillId="4" borderId="8" xfId="0" applyFont="1" applyFill="1" applyBorder="1"/>
    <xf numFmtId="0" fontId="2" fillId="4" borderId="22" xfId="0" applyFont="1" applyFill="1" applyBorder="1"/>
    <xf numFmtId="0" fontId="2" fillId="4" borderId="11" xfId="0" applyFont="1" applyFill="1" applyBorder="1"/>
    <xf numFmtId="164" fontId="4" fillId="5" borderId="27" xfId="0" applyNumberFormat="1" applyFont="1" applyFill="1" applyBorder="1"/>
    <xf numFmtId="164" fontId="4" fillId="5" borderId="7" xfId="0" applyNumberFormat="1" applyFont="1" applyFill="1" applyBorder="1"/>
    <xf numFmtId="164" fontId="4" fillId="5" borderId="10" xfId="0" applyNumberFormat="1" applyFont="1" applyFill="1" applyBorder="1"/>
    <xf numFmtId="2" fontId="3" fillId="5" borderId="19" xfId="0" applyNumberFormat="1" applyFont="1" applyFill="1" applyBorder="1"/>
    <xf numFmtId="0" fontId="2" fillId="2" borderId="40" xfId="0" applyFont="1" applyFill="1" applyBorder="1"/>
    <xf numFmtId="0" fontId="2" fillId="3" borderId="29" xfId="0" applyFont="1" applyFill="1" applyBorder="1" applyAlignment="1">
      <alignment horizontal="center"/>
    </xf>
    <xf numFmtId="2" fontId="10" fillId="5" borderId="41" xfId="0" applyNumberFormat="1" applyFont="1" applyFill="1" applyBorder="1"/>
    <xf numFmtId="2" fontId="10" fillId="5" borderId="42" xfId="0" applyNumberFormat="1" applyFont="1" applyFill="1" applyBorder="1"/>
    <xf numFmtId="2" fontId="10" fillId="5" borderId="43" xfId="0" applyNumberFormat="1" applyFont="1" applyFill="1" applyBorder="1"/>
    <xf numFmtId="0" fontId="2" fillId="3" borderId="44" xfId="0" applyFont="1" applyFill="1" applyBorder="1" applyAlignment="1">
      <alignment horizontal="center"/>
    </xf>
    <xf numFmtId="0" fontId="3" fillId="2" borderId="47" xfId="0" applyFont="1" applyFill="1" applyBorder="1"/>
    <xf numFmtId="0" fontId="4" fillId="5" borderId="48" xfId="0" applyFont="1" applyFill="1" applyBorder="1"/>
    <xf numFmtId="2" fontId="0" fillId="0" borderId="0" xfId="0" applyNumberFormat="1"/>
    <xf numFmtId="0" fontId="11" fillId="0" borderId="0" xfId="0" applyFont="1"/>
    <xf numFmtId="164" fontId="10" fillId="5" borderId="27" xfId="0" applyNumberFormat="1" applyFont="1" applyFill="1" applyBorder="1"/>
    <xf numFmtId="164" fontId="10" fillId="5" borderId="7" xfId="0" applyNumberFormat="1" applyFont="1" applyFill="1" applyBorder="1"/>
    <xf numFmtId="164" fontId="10" fillId="5" borderId="10" xfId="0" applyNumberFormat="1" applyFont="1" applyFill="1" applyBorder="1"/>
    <xf numFmtId="164" fontId="10" fillId="5" borderId="8" xfId="0" applyNumberFormat="1" applyFont="1" applyFill="1" applyBorder="1"/>
    <xf numFmtId="164" fontId="10" fillId="5" borderId="11" xfId="0" applyNumberFormat="1" applyFont="1" applyFill="1" applyBorder="1"/>
    <xf numFmtId="2" fontId="3" fillId="5" borderId="28" xfId="0" applyNumberFormat="1" applyFont="1" applyFill="1" applyBorder="1"/>
    <xf numFmtId="0" fontId="3" fillId="2" borderId="5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0" fillId="0" borderId="49" xfId="0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2" fillId="3" borderId="31" xfId="0" applyFont="1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6" xfId="0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0" fillId="3" borderId="31" xfId="0" applyFill="1" applyBorder="1"/>
    <xf numFmtId="2" fontId="4" fillId="5" borderId="24" xfId="0" applyNumberFormat="1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2" fontId="4" fillId="5" borderId="22" xfId="0" applyNumberFormat="1" applyFont="1" applyFill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0" fontId="5" fillId="5" borderId="11" xfId="0" applyFont="1" applyFill="1" applyBorder="1" applyAlignment="1">
      <alignment vertical="center"/>
    </xf>
    <xf numFmtId="0" fontId="2" fillId="3" borderId="25" xfId="0" applyFont="1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0" fontId="3" fillId="2" borderId="16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3" fillId="2" borderId="18" xfId="0" applyFont="1" applyFill="1" applyBorder="1"/>
    <xf numFmtId="0" fontId="0" fillId="0" borderId="17" xfId="0" applyBorder="1"/>
    <xf numFmtId="0" fontId="3" fillId="2" borderId="18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6" borderId="3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3" borderId="28" xfId="0" applyFont="1" applyFill="1" applyBorder="1"/>
    <xf numFmtId="0" fontId="2" fillId="3" borderId="29" xfId="0" applyFont="1" applyFill="1" applyBorder="1"/>
    <xf numFmtId="165" fontId="4" fillId="5" borderId="57" xfId="0" applyNumberFormat="1" applyFont="1" applyFill="1" applyBorder="1"/>
    <xf numFmtId="0" fontId="4" fillId="5" borderId="56" xfId="0" applyFont="1" applyFill="1" applyBorder="1"/>
    <xf numFmtId="0" fontId="0" fillId="6" borderId="51" xfId="0" applyFill="1" applyBorder="1"/>
    <xf numFmtId="0" fontId="0" fillId="6" borderId="52" xfId="0" applyFill="1" applyBorder="1"/>
    <xf numFmtId="0" fontId="13" fillId="6" borderId="53" xfId="0" applyFont="1" applyFill="1" applyBorder="1" applyAlignment="1">
      <alignment horizontal="center"/>
    </xf>
    <xf numFmtId="0" fontId="0" fillId="6" borderId="53" xfId="0" applyFill="1" applyBorder="1"/>
    <xf numFmtId="0" fontId="0" fillId="6" borderId="54" xfId="0" applyFill="1" applyBorder="1"/>
    <xf numFmtId="0" fontId="0" fillId="6" borderId="55" xfId="0" applyFill="1" applyBorder="1"/>
    <xf numFmtId="0" fontId="12" fillId="6" borderId="53" xfId="0" applyFont="1" applyFill="1" applyBorder="1" applyAlignment="1">
      <alignment horizontal="center"/>
    </xf>
    <xf numFmtId="0" fontId="0" fillId="6" borderId="0" xfId="0" applyFill="1" applyAlignment="1"/>
    <xf numFmtId="0" fontId="3" fillId="2" borderId="58" xfId="0" applyFont="1" applyFill="1" applyBorder="1" applyAlignment="1">
      <alignment horizontal="center"/>
    </xf>
    <xf numFmtId="0" fontId="0" fillId="6" borderId="60" xfId="0" applyFill="1" applyBorder="1"/>
    <xf numFmtId="0" fontId="13" fillId="6" borderId="0" xfId="0" applyFont="1" applyFill="1" applyBorder="1" applyAlignment="1">
      <alignment horizontal="center"/>
    </xf>
    <xf numFmtId="0" fontId="13" fillId="6" borderId="59" xfId="0" applyFont="1" applyFill="1" applyBorder="1" applyAlignment="1">
      <alignment horizontal="center"/>
    </xf>
    <xf numFmtId="0" fontId="0" fillId="6" borderId="0" xfId="0" applyFill="1" applyBorder="1"/>
    <xf numFmtId="0" fontId="0" fillId="6" borderId="59" xfId="0" applyFill="1" applyBorder="1"/>
    <xf numFmtId="0" fontId="12" fillId="6" borderId="0" xfId="0" applyFont="1" applyFill="1" applyBorder="1" applyAlignment="1">
      <alignment horizontal="center"/>
    </xf>
    <xf numFmtId="0" fontId="12" fillId="6" borderId="0" xfId="0" quotePrefix="1" applyFont="1" applyFill="1" applyBorder="1" applyAlignment="1">
      <alignment horizontal="center"/>
    </xf>
    <xf numFmtId="0" fontId="0" fillId="6" borderId="61" xfId="0" applyFill="1" applyBorder="1"/>
    <xf numFmtId="0" fontId="12" fillId="6" borderId="0" xfId="0" applyFont="1" applyFill="1" applyBorder="1" applyAlignment="1">
      <alignment horizontal="center"/>
    </xf>
    <xf numFmtId="0" fontId="12" fillId="6" borderId="59" xfId="0" applyFont="1" applyFill="1" applyBorder="1" applyAlignment="1">
      <alignment horizontal="center"/>
    </xf>
    <xf numFmtId="0" fontId="0" fillId="6" borderId="0" xfId="0" applyFill="1" applyBorder="1" applyAlignment="1">
      <alignment wrapText="1"/>
    </xf>
    <xf numFmtId="0" fontId="0" fillId="6" borderId="0" xfId="0" applyFill="1" applyBorder="1" applyAlignment="1"/>
    <xf numFmtId="0" fontId="0" fillId="6" borderId="1" xfId="0" applyFill="1" applyBorder="1"/>
    <xf numFmtId="0" fontId="14" fillId="6" borderId="1" xfId="0" applyFont="1" applyFill="1" applyBorder="1" applyAlignment="1">
      <alignment horizontal="left" vertical="center" wrapText="1"/>
    </xf>
    <xf numFmtId="0" fontId="14" fillId="6" borderId="0" xfId="0" applyFont="1" applyFill="1" applyAlignment="1">
      <alignment horizontal="left" vertical="center"/>
    </xf>
    <xf numFmtId="0" fontId="14" fillId="6" borderId="59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vertical="center" wrapText="1"/>
    </xf>
    <xf numFmtId="0" fontId="14" fillId="6" borderId="0" xfId="0" applyFont="1" applyFill="1" applyAlignment="1">
      <alignment vertical="center"/>
    </xf>
    <xf numFmtId="0" fontId="14" fillId="6" borderId="59" xfId="0" applyFont="1" applyFill="1" applyBorder="1" applyAlignment="1">
      <alignment vertical="center"/>
    </xf>
    <xf numFmtId="0" fontId="3" fillId="2" borderId="13" xfId="0" quotePrefix="1" applyFont="1" applyFill="1" applyBorder="1" applyAlignment="1">
      <alignment horizontal="center"/>
    </xf>
    <xf numFmtId="0" fontId="2" fillId="4" borderId="66" xfId="0" applyFont="1" applyFill="1" applyBorder="1"/>
    <xf numFmtId="0" fontId="3" fillId="2" borderId="67" xfId="0" applyFont="1" applyFill="1" applyBorder="1"/>
    <xf numFmtId="0" fontId="2" fillId="9" borderId="65" xfId="0" applyFont="1" applyFill="1" applyBorder="1"/>
    <xf numFmtId="2" fontId="2" fillId="9" borderId="65" xfId="0" applyNumberFormat="1" applyFont="1" applyFill="1" applyBorder="1"/>
    <xf numFmtId="0" fontId="0" fillId="3" borderId="31" xfId="0" applyFill="1" applyBorder="1" applyAlignment="1"/>
    <xf numFmtId="0" fontId="0" fillId="3" borderId="32" xfId="0" applyFill="1" applyBorder="1" applyAlignment="1"/>
    <xf numFmtId="0" fontId="0" fillId="3" borderId="33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3" borderId="36" xfId="0" applyFill="1" applyBorder="1" applyAlignment="1"/>
    <xf numFmtId="0" fontId="0" fillId="3" borderId="37" xfId="0" applyFill="1" applyBorder="1" applyAlignment="1"/>
    <xf numFmtId="0" fontId="0" fillId="3" borderId="38" xfId="0" applyFill="1" applyBorder="1" applyAlignment="1"/>
    <xf numFmtId="0" fontId="0" fillId="3" borderId="39" xfId="0" applyFill="1" applyBorder="1" applyAlignment="1"/>
    <xf numFmtId="0" fontId="0" fillId="6" borderId="1" xfId="0" applyFill="1" applyBorder="1" applyAlignment="1">
      <alignment vertical="center" wrapText="1"/>
    </xf>
    <xf numFmtId="0" fontId="0" fillId="6" borderId="0" xfId="0" applyFill="1" applyAlignment="1">
      <alignment vertical="center"/>
    </xf>
    <xf numFmtId="0" fontId="0" fillId="6" borderId="59" xfId="0" applyFill="1" applyBorder="1" applyAlignment="1">
      <alignment vertical="center"/>
    </xf>
    <xf numFmtId="0" fontId="0" fillId="6" borderId="1" xfId="0" applyFill="1" applyBorder="1" applyAlignment="1">
      <alignment wrapText="1"/>
    </xf>
    <xf numFmtId="0" fontId="0" fillId="6" borderId="59" xfId="0" applyFill="1" applyBorder="1" applyAlignment="1"/>
    <xf numFmtId="0" fontId="0" fillId="6" borderId="1" xfId="0" applyFill="1" applyBorder="1" applyAlignment="1"/>
    <xf numFmtId="0" fontId="2" fillId="10" borderId="0" xfId="0" applyFont="1" applyFill="1"/>
    <xf numFmtId="0" fontId="0" fillId="10" borderId="0" xfId="0" applyFill="1"/>
    <xf numFmtId="0" fontId="0" fillId="10" borderId="69" xfId="0" applyFill="1" applyBorder="1"/>
    <xf numFmtId="0" fontId="0" fillId="10" borderId="63" xfId="0" applyFill="1" applyBorder="1"/>
    <xf numFmtId="0" fontId="0" fillId="10" borderId="64" xfId="0" applyFill="1" applyBorder="1"/>
    <xf numFmtId="0" fontId="2" fillId="10" borderId="1" xfId="0" applyFont="1" applyFill="1" applyBorder="1"/>
    <xf numFmtId="0" fontId="0" fillId="10" borderId="0" xfId="0" applyFill="1" applyBorder="1"/>
    <xf numFmtId="0" fontId="0" fillId="10" borderId="59" xfId="0" applyFill="1" applyBorder="1"/>
    <xf numFmtId="0" fontId="0" fillId="10" borderId="1" xfId="0" applyFill="1" applyBorder="1"/>
    <xf numFmtId="0" fontId="0" fillId="10" borderId="62" xfId="0" applyFill="1" applyBorder="1"/>
    <xf numFmtId="0" fontId="2" fillId="11" borderId="1" xfId="0" applyFont="1" applyFill="1" applyBorder="1"/>
    <xf numFmtId="0" fontId="0" fillId="11" borderId="1" xfId="0" applyFill="1" applyBorder="1"/>
    <xf numFmtId="0" fontId="0" fillId="11" borderId="0" xfId="0" applyFill="1" applyBorder="1"/>
    <xf numFmtId="0" fontId="0" fillId="11" borderId="62" xfId="0" applyFill="1" applyBorder="1"/>
    <xf numFmtId="0" fontId="0" fillId="11" borderId="63" xfId="0" applyFill="1" applyBorder="1"/>
    <xf numFmtId="0" fontId="0" fillId="11" borderId="59" xfId="0" applyFill="1" applyBorder="1"/>
    <xf numFmtId="0" fontId="0" fillId="11" borderId="64" xfId="0" applyFill="1" applyBorder="1"/>
    <xf numFmtId="164" fontId="0" fillId="11" borderId="0" xfId="0" applyNumberFormat="1" applyFill="1" applyBorder="1"/>
    <xf numFmtId="0" fontId="0" fillId="0" borderId="14" xfId="0" applyBorder="1" applyAlignment="1">
      <alignment horizontal="center"/>
    </xf>
    <xf numFmtId="164" fontId="10" fillId="5" borderId="22" xfId="0" applyNumberFormat="1" applyFont="1" applyFill="1" applyBorder="1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12" borderId="0" xfId="0" applyFill="1"/>
    <xf numFmtId="0" fontId="2" fillId="12" borderId="0" xfId="0" applyFont="1" applyFill="1"/>
    <xf numFmtId="0" fontId="0" fillId="12" borderId="68" xfId="0" applyFill="1" applyBorder="1"/>
    <xf numFmtId="0" fontId="0" fillId="12" borderId="1" xfId="0" applyFill="1" applyBorder="1"/>
    <xf numFmtId="0" fontId="2" fillId="12" borderId="1" xfId="0" applyFont="1" applyFill="1" applyBorder="1"/>
    <xf numFmtId="0" fontId="2" fillId="12" borderId="0" xfId="0" applyFont="1" applyFill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A061-730A-4A9A-9EDB-FB4FCB035165}">
  <dimension ref="A1:BM141"/>
  <sheetViews>
    <sheetView tabSelected="1" workbookViewId="0">
      <selection activeCell="T11" sqref="T11"/>
    </sheetView>
  </sheetViews>
  <sheetFormatPr baseColWidth="10" defaultRowHeight="15" x14ac:dyDescent="0.25"/>
  <cols>
    <col min="1" max="1" width="4.28515625" customWidth="1"/>
    <col min="2" max="2" width="18.85546875" customWidth="1"/>
    <col min="4" max="5" width="9.28515625" customWidth="1"/>
    <col min="6" max="6" width="2.7109375" customWidth="1"/>
    <col min="7" max="7" width="7.42578125" customWidth="1"/>
    <col min="8" max="8" width="23" customWidth="1"/>
    <col min="9" max="9" width="16.85546875" customWidth="1"/>
    <col min="10" max="10" width="30.5703125" customWidth="1"/>
    <col min="11" max="11" width="16.140625" customWidth="1"/>
    <col min="12" max="12" width="13" customWidth="1"/>
    <col min="13" max="13" width="16.28515625" customWidth="1"/>
    <col min="14" max="14" width="9.5703125" customWidth="1"/>
    <col min="17" max="17" width="13" customWidth="1"/>
    <col min="18" max="18" width="14.42578125" customWidth="1"/>
    <col min="27" max="43" width="11.42578125" style="154"/>
  </cols>
  <sheetData>
    <row r="1" spans="1:65" ht="15.75" thickBot="1" x14ac:dyDescent="0.3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R1" s="154"/>
      <c r="AS1" s="154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54"/>
      <c r="BF1" s="154"/>
      <c r="BG1" s="154"/>
      <c r="BH1" s="154"/>
      <c r="BI1" s="154"/>
      <c r="BJ1" s="154"/>
      <c r="BK1" s="154"/>
      <c r="BL1" s="154"/>
      <c r="BM1" s="154"/>
    </row>
    <row r="2" spans="1:65" ht="39.950000000000003" customHeight="1" thickTop="1" thickBot="1" x14ac:dyDescent="0.3">
      <c r="A2" s="154"/>
      <c r="B2" s="75" t="s">
        <v>23</v>
      </c>
      <c r="C2" s="76"/>
      <c r="D2" s="76"/>
      <c r="E2" s="76"/>
      <c r="F2" s="76"/>
      <c r="G2" s="76"/>
      <c r="H2" s="76"/>
      <c r="I2" s="76"/>
      <c r="J2" s="76"/>
      <c r="K2" s="76"/>
      <c r="L2" s="77"/>
      <c r="M2" s="160" t="s">
        <v>24</v>
      </c>
      <c r="N2" s="161"/>
      <c r="O2" s="161"/>
      <c r="P2" s="161"/>
      <c r="Q2" s="161"/>
      <c r="R2" s="161"/>
      <c r="S2" s="161"/>
      <c r="T2" s="161"/>
      <c r="U2" s="161"/>
      <c r="V2" s="161"/>
      <c r="W2" s="154"/>
      <c r="X2" s="154"/>
      <c r="Y2" s="154"/>
      <c r="Z2" s="154"/>
    </row>
    <row r="3" spans="1:65" ht="30" customHeight="1" thickTop="1" x14ac:dyDescent="0.45">
      <c r="A3" s="154"/>
      <c r="B3" s="2" t="s">
        <v>1</v>
      </c>
      <c r="C3" s="15">
        <v>12</v>
      </c>
      <c r="D3" s="5" t="s">
        <v>3</v>
      </c>
      <c r="E3" s="45"/>
      <c r="F3" s="46"/>
      <c r="G3" s="46"/>
      <c r="H3" s="46"/>
      <c r="I3" s="47"/>
      <c r="J3" s="2" t="s">
        <v>13</v>
      </c>
      <c r="K3" s="15">
        <v>3.3</v>
      </c>
      <c r="L3" s="5" t="s">
        <v>3</v>
      </c>
      <c r="M3" s="160"/>
      <c r="N3" s="161"/>
      <c r="O3" s="161"/>
      <c r="P3" s="161"/>
      <c r="Q3" s="161"/>
      <c r="R3" s="161"/>
      <c r="S3" s="161"/>
      <c r="T3" s="161"/>
      <c r="U3" s="161"/>
      <c r="V3" s="161"/>
      <c r="W3" s="154"/>
      <c r="X3" s="154"/>
      <c r="Y3" s="154"/>
      <c r="Z3" s="154"/>
    </row>
    <row r="4" spans="1:65" ht="30" customHeight="1" x14ac:dyDescent="0.45">
      <c r="A4" s="154"/>
      <c r="B4" s="3" t="s">
        <v>0</v>
      </c>
      <c r="C4" s="16">
        <v>4.7</v>
      </c>
      <c r="D4" s="6" t="s">
        <v>2</v>
      </c>
      <c r="E4" s="48"/>
      <c r="F4" s="49"/>
      <c r="G4" s="49"/>
      <c r="H4" s="49"/>
      <c r="I4" s="50"/>
      <c r="J4" s="3" t="s">
        <v>14</v>
      </c>
      <c r="K4" s="16">
        <v>0.82</v>
      </c>
      <c r="L4" s="6" t="s">
        <v>2</v>
      </c>
      <c r="M4" s="160"/>
      <c r="N4" s="161"/>
      <c r="O4" s="161"/>
      <c r="P4" s="161"/>
      <c r="Q4" s="161"/>
      <c r="R4" s="161"/>
      <c r="S4" s="161"/>
      <c r="T4" s="161"/>
      <c r="U4" s="161"/>
      <c r="V4" s="161"/>
      <c r="W4" s="154"/>
      <c r="X4" s="154"/>
      <c r="Y4" s="154"/>
      <c r="Z4" s="154"/>
    </row>
    <row r="5" spans="1:65" ht="30" customHeight="1" thickBot="1" x14ac:dyDescent="0.5">
      <c r="A5" s="154"/>
      <c r="B5" s="3" t="s">
        <v>4</v>
      </c>
      <c r="C5" s="16">
        <v>12</v>
      </c>
      <c r="D5" s="6" t="s">
        <v>2</v>
      </c>
      <c r="E5" s="51"/>
      <c r="F5" s="52"/>
      <c r="G5" s="52"/>
      <c r="H5" s="52"/>
      <c r="I5" s="53"/>
      <c r="J5" s="4" t="s">
        <v>15</v>
      </c>
      <c r="K5" s="18">
        <v>1</v>
      </c>
      <c r="L5" s="8" t="s">
        <v>2</v>
      </c>
      <c r="M5" s="160"/>
      <c r="N5" s="161"/>
      <c r="O5" s="161"/>
      <c r="P5" s="161"/>
      <c r="Q5" s="161"/>
      <c r="R5" s="161"/>
      <c r="S5" s="161"/>
      <c r="T5" s="161"/>
      <c r="U5" s="161"/>
      <c r="V5" s="161"/>
      <c r="W5" s="154"/>
      <c r="X5" s="154"/>
      <c r="Y5" s="154"/>
      <c r="Z5" s="154"/>
    </row>
    <row r="6" spans="1:65" ht="30" customHeight="1" thickTop="1" thickBot="1" x14ac:dyDescent="0.5">
      <c r="A6" s="154"/>
      <c r="B6" s="3" t="s">
        <v>19</v>
      </c>
      <c r="C6" s="113">
        <v>3.9</v>
      </c>
      <c r="D6" s="6" t="s">
        <v>2</v>
      </c>
      <c r="E6" s="132"/>
      <c r="F6" s="132"/>
      <c r="G6" s="133"/>
      <c r="H6" s="133"/>
      <c r="I6" s="133"/>
      <c r="J6" s="133"/>
      <c r="K6" s="133"/>
      <c r="L6" s="13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 spans="1:65" ht="30" customHeight="1" thickTop="1" thickBot="1" x14ac:dyDescent="0.5">
      <c r="A7" s="154"/>
      <c r="B7" s="23" t="s">
        <v>25</v>
      </c>
      <c r="C7" s="115">
        <v>0.65</v>
      </c>
      <c r="D7" s="14" t="s">
        <v>3</v>
      </c>
      <c r="E7" s="132"/>
      <c r="F7" s="132"/>
      <c r="G7" s="135"/>
      <c r="H7" s="135"/>
      <c r="I7" s="135"/>
      <c r="J7" s="135"/>
      <c r="K7" s="135"/>
      <c r="L7" s="136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</row>
    <row r="8" spans="1:65" ht="16.5" thickTop="1" thickBot="1" x14ac:dyDescent="0.3">
      <c r="A8" s="154"/>
      <c r="B8" s="54"/>
      <c r="C8" s="49"/>
      <c r="D8" s="47"/>
      <c r="E8" s="133"/>
      <c r="F8" s="133"/>
      <c r="G8" s="156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</row>
    <row r="9" spans="1:65" ht="39.950000000000003" customHeight="1" thickTop="1" thickBot="1" x14ac:dyDescent="0.3">
      <c r="A9" s="154"/>
      <c r="B9" s="48"/>
      <c r="C9" s="49"/>
      <c r="D9" s="50"/>
      <c r="E9" s="133"/>
      <c r="F9" s="133"/>
      <c r="G9" s="157"/>
      <c r="H9" s="72" t="s">
        <v>22</v>
      </c>
      <c r="I9" s="73"/>
      <c r="J9" s="73"/>
      <c r="K9" s="73"/>
      <c r="L9" s="73"/>
      <c r="M9" s="73"/>
      <c r="N9" s="73"/>
      <c r="O9" s="73"/>
      <c r="P9" s="73"/>
      <c r="Q9" s="73"/>
      <c r="R9" s="74"/>
      <c r="S9" s="154"/>
      <c r="T9" s="154"/>
      <c r="U9" s="154"/>
      <c r="V9" s="154"/>
      <c r="W9" s="154"/>
      <c r="X9" s="154"/>
      <c r="Y9" s="154"/>
      <c r="Z9" s="154"/>
    </row>
    <row r="10" spans="1:65" ht="30" customHeight="1" thickTop="1" thickBot="1" x14ac:dyDescent="0.5">
      <c r="A10" s="154"/>
      <c r="B10" s="48"/>
      <c r="C10" s="49"/>
      <c r="D10" s="50"/>
      <c r="E10" s="133"/>
      <c r="F10" s="133"/>
      <c r="G10" s="157"/>
      <c r="H10" s="29" t="s">
        <v>16</v>
      </c>
      <c r="I10" s="30">
        <f>K3*((K4/K5)+1)</f>
        <v>6.0059999999999993</v>
      </c>
      <c r="J10" s="24" t="s">
        <v>3</v>
      </c>
      <c r="K10" s="78" t="s">
        <v>20</v>
      </c>
      <c r="L10" s="79"/>
      <c r="M10" s="79"/>
      <c r="N10" s="40"/>
      <c r="O10" s="78" t="s">
        <v>21</v>
      </c>
      <c r="P10" s="79"/>
      <c r="Q10" s="79"/>
      <c r="R10" s="40"/>
      <c r="S10" s="154"/>
      <c r="T10" s="154"/>
      <c r="U10" s="154"/>
      <c r="V10" s="154"/>
      <c r="W10" s="154"/>
      <c r="X10" s="154"/>
      <c r="Y10" s="154"/>
      <c r="Z10" s="154"/>
    </row>
    <row r="11" spans="1:65" s="1" customFormat="1" ht="30" customHeight="1" thickBot="1" x14ac:dyDescent="0.5">
      <c r="A11" s="155"/>
      <c r="B11" s="51"/>
      <c r="C11" s="52"/>
      <c r="D11" s="53"/>
      <c r="E11" s="133"/>
      <c r="F11" s="133"/>
      <c r="G11" s="158"/>
      <c r="H11" s="92" t="s">
        <v>26</v>
      </c>
      <c r="I11" s="43"/>
      <c r="J11" s="44"/>
      <c r="K11" s="67" t="s">
        <v>11</v>
      </c>
      <c r="L11" s="68"/>
      <c r="M11" s="71" t="s">
        <v>17</v>
      </c>
      <c r="N11" s="70"/>
      <c r="O11" s="67" t="s">
        <v>11</v>
      </c>
      <c r="P11" s="68"/>
      <c r="Q11" s="69" t="s">
        <v>17</v>
      </c>
      <c r="R11" s="7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5"/>
      <c r="AQ11" s="155"/>
    </row>
    <row r="12" spans="1:65" s="1" customFormat="1" ht="30" customHeight="1" thickTop="1" thickBot="1" x14ac:dyDescent="0.5">
      <c r="A12" s="155"/>
      <c r="B12" s="2" t="s">
        <v>5</v>
      </c>
      <c r="C12" s="17">
        <v>12</v>
      </c>
      <c r="D12" s="7" t="s">
        <v>2</v>
      </c>
      <c r="E12" s="137"/>
      <c r="F12" s="132"/>
      <c r="G12" s="158"/>
      <c r="H12" s="142"/>
      <c r="I12" s="27">
        <f t="shared" ref="I12:I17" si="0">$C$5*K12</f>
        <v>3.3772455089820363</v>
      </c>
      <c r="J12" s="28" t="s">
        <v>3</v>
      </c>
      <c r="K12" s="19">
        <f t="shared" ref="K12:K17" si="1">$C$3*$C$4/($C$4+C12)/$C$5</f>
        <v>0.28143712574850305</v>
      </c>
      <c r="L12" s="9" t="s">
        <v>12</v>
      </c>
      <c r="M12" s="22">
        <f t="shared" ref="M12:M17" si="2">K12*($C$3-$I$12)</f>
        <v>2.4267632399870922</v>
      </c>
      <c r="N12" s="12" t="s">
        <v>18</v>
      </c>
      <c r="O12" s="55">
        <f>(K3/C6)*C4/C5</f>
        <v>0.3314102564102564</v>
      </c>
      <c r="P12" s="58" t="s">
        <v>12</v>
      </c>
      <c r="Q12" s="61">
        <f>(C3-((C5)*O12))*O12</f>
        <v>2.6589299802761341</v>
      </c>
      <c r="R12" s="64" t="s">
        <v>18</v>
      </c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5"/>
    </row>
    <row r="13" spans="1:65" s="1" customFormat="1" ht="30" customHeight="1" thickTop="1" thickBot="1" x14ac:dyDescent="0.5">
      <c r="A13" s="155"/>
      <c r="B13" s="3" t="s">
        <v>6</v>
      </c>
      <c r="C13" s="16">
        <v>22</v>
      </c>
      <c r="D13" s="6" t="s">
        <v>2</v>
      </c>
      <c r="E13" s="137"/>
      <c r="F13" s="132"/>
      <c r="G13" s="158"/>
      <c r="H13" s="142"/>
      <c r="I13" s="25">
        <f t="shared" si="0"/>
        <v>2.112359550561798</v>
      </c>
      <c r="J13" s="24" t="s">
        <v>3</v>
      </c>
      <c r="K13" s="20">
        <f t="shared" si="1"/>
        <v>0.17602996254681649</v>
      </c>
      <c r="L13" s="10" t="s">
        <v>12</v>
      </c>
      <c r="M13" s="22">
        <f t="shared" si="2"/>
        <v>1.5178631501042861</v>
      </c>
      <c r="N13" s="13" t="s">
        <v>18</v>
      </c>
      <c r="O13" s="56"/>
      <c r="P13" s="59"/>
      <c r="Q13" s="62"/>
      <c r="R13" s="6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5"/>
    </row>
    <row r="14" spans="1:65" s="1" customFormat="1" ht="30" customHeight="1" thickTop="1" thickBot="1" x14ac:dyDescent="0.5">
      <c r="A14" s="155"/>
      <c r="B14" s="3" t="s">
        <v>7</v>
      </c>
      <c r="C14" s="16">
        <v>39</v>
      </c>
      <c r="D14" s="6" t="s">
        <v>2</v>
      </c>
      <c r="E14" s="137"/>
      <c r="F14" s="132"/>
      <c r="G14" s="158"/>
      <c r="H14" s="142"/>
      <c r="I14" s="25">
        <f t="shared" si="0"/>
        <v>1.2906178489702518</v>
      </c>
      <c r="J14" s="24" t="s">
        <v>3</v>
      </c>
      <c r="K14" s="20">
        <f t="shared" si="1"/>
        <v>0.10755148741418764</v>
      </c>
      <c r="L14" s="10" t="s">
        <v>12</v>
      </c>
      <c r="M14" s="22">
        <f t="shared" si="2"/>
        <v>0.92739007111634864</v>
      </c>
      <c r="N14" s="13" t="s">
        <v>18</v>
      </c>
      <c r="O14" s="56"/>
      <c r="P14" s="59"/>
      <c r="Q14" s="62"/>
      <c r="R14" s="65"/>
      <c r="S14" s="159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</row>
    <row r="15" spans="1:65" s="1" customFormat="1" ht="30" customHeight="1" thickTop="1" thickBot="1" x14ac:dyDescent="0.5">
      <c r="A15" s="155"/>
      <c r="B15" s="3" t="s">
        <v>8</v>
      </c>
      <c r="C15" s="16">
        <v>82</v>
      </c>
      <c r="D15" s="6" t="s">
        <v>2</v>
      </c>
      <c r="E15" s="137"/>
      <c r="F15" s="132"/>
      <c r="G15" s="158"/>
      <c r="H15" s="142"/>
      <c r="I15" s="25">
        <f t="shared" si="0"/>
        <v>0.6505190311418686</v>
      </c>
      <c r="J15" s="24" t="s">
        <v>3</v>
      </c>
      <c r="K15" s="20">
        <f t="shared" si="1"/>
        <v>5.4209919261822385E-2</v>
      </c>
      <c r="L15" s="10" t="s">
        <v>12</v>
      </c>
      <c r="M15" s="22">
        <f t="shared" si="2"/>
        <v>0.46743882477260024</v>
      </c>
      <c r="N15" s="13" t="s">
        <v>18</v>
      </c>
      <c r="O15" s="56"/>
      <c r="P15" s="59"/>
      <c r="Q15" s="62"/>
      <c r="R15" s="6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5"/>
    </row>
    <row r="16" spans="1:65" s="1" customFormat="1" ht="30" customHeight="1" thickTop="1" thickBot="1" x14ac:dyDescent="0.5">
      <c r="A16" s="155"/>
      <c r="B16" s="3" t="s">
        <v>9</v>
      </c>
      <c r="C16" s="16">
        <v>220</v>
      </c>
      <c r="D16" s="6" t="s">
        <v>2</v>
      </c>
      <c r="E16" s="137"/>
      <c r="F16" s="132"/>
      <c r="G16" s="158"/>
      <c r="H16" s="142"/>
      <c r="I16" s="25">
        <f t="shared" si="0"/>
        <v>0.25100133511348466</v>
      </c>
      <c r="J16" s="24" t="s">
        <v>3</v>
      </c>
      <c r="K16" s="20">
        <f t="shared" si="1"/>
        <v>2.091677792612372E-2</v>
      </c>
      <c r="L16" s="10" t="s">
        <v>12</v>
      </c>
      <c r="M16" s="22">
        <f t="shared" si="2"/>
        <v>0.18036024080010873</v>
      </c>
      <c r="N16" s="13" t="s">
        <v>18</v>
      </c>
      <c r="O16" s="56"/>
      <c r="P16" s="59"/>
      <c r="Q16" s="62"/>
      <c r="R16" s="6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5"/>
    </row>
    <row r="17" spans="1:43" s="1" customFormat="1" ht="30" customHeight="1" thickTop="1" thickBot="1" x14ac:dyDescent="0.5">
      <c r="A17" s="155"/>
      <c r="B17" s="4" t="s">
        <v>10</v>
      </c>
      <c r="C17" s="18">
        <v>470</v>
      </c>
      <c r="D17" s="8" t="s">
        <v>2</v>
      </c>
      <c r="E17" s="137"/>
      <c r="F17" s="132"/>
      <c r="G17" s="158"/>
      <c r="H17" s="142"/>
      <c r="I17" s="26">
        <f t="shared" si="0"/>
        <v>0.11881188118811881</v>
      </c>
      <c r="J17" s="24" t="s">
        <v>3</v>
      </c>
      <c r="K17" s="21">
        <f t="shared" si="1"/>
        <v>9.9009900990099011E-3</v>
      </c>
      <c r="L17" s="11" t="s">
        <v>12</v>
      </c>
      <c r="M17" s="38">
        <f t="shared" si="2"/>
        <v>8.5373806841762032E-2</v>
      </c>
      <c r="N17" s="14" t="s">
        <v>18</v>
      </c>
      <c r="O17" s="57"/>
      <c r="P17" s="60"/>
      <c r="Q17" s="63"/>
      <c r="R17" s="66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</row>
    <row r="18" spans="1:43" ht="30" customHeight="1" thickTop="1" x14ac:dyDescent="0.25">
      <c r="A18" s="154"/>
      <c r="B18" s="117"/>
      <c r="C18" s="118"/>
      <c r="D18" s="119"/>
      <c r="E18" s="133"/>
      <c r="F18" s="133"/>
      <c r="G18" s="157"/>
      <c r="H18" s="143"/>
      <c r="I18" s="144"/>
      <c r="J18" s="144"/>
      <c r="K18" s="144"/>
      <c r="L18" s="144"/>
      <c r="M18" s="144"/>
      <c r="N18" s="144"/>
      <c r="O18" s="144"/>
      <c r="P18" s="144"/>
      <c r="Q18" s="144"/>
      <c r="R18" s="147"/>
      <c r="S18" s="154"/>
      <c r="T18" s="154"/>
      <c r="U18" s="154"/>
      <c r="V18" s="154"/>
      <c r="W18" s="154"/>
      <c r="X18" s="154"/>
      <c r="Y18" s="154"/>
      <c r="Z18" s="154"/>
    </row>
    <row r="19" spans="1:43" ht="30" customHeight="1" thickBot="1" x14ac:dyDescent="0.3">
      <c r="A19" s="154"/>
      <c r="B19" s="120"/>
      <c r="C19" s="121"/>
      <c r="D19" s="122"/>
      <c r="E19" s="133"/>
      <c r="F19" s="133"/>
      <c r="G19" s="157"/>
      <c r="H19" s="143"/>
      <c r="I19" s="144"/>
      <c r="J19" s="144"/>
      <c r="K19" s="144"/>
      <c r="L19" s="144"/>
      <c r="M19" s="144"/>
      <c r="N19" s="144"/>
      <c r="O19" s="144"/>
      <c r="P19" s="144"/>
      <c r="Q19" s="144"/>
      <c r="R19" s="147"/>
      <c r="S19" s="154"/>
      <c r="T19" s="154"/>
      <c r="U19" s="154"/>
      <c r="V19" s="154"/>
      <c r="W19" s="154"/>
      <c r="X19" s="154"/>
      <c r="Y19" s="154"/>
      <c r="Z19" s="154"/>
    </row>
    <row r="20" spans="1:43" ht="30" customHeight="1" thickTop="1" thickBot="1" x14ac:dyDescent="0.5">
      <c r="A20" s="154"/>
      <c r="B20" s="123"/>
      <c r="C20" s="124"/>
      <c r="D20" s="125"/>
      <c r="E20" s="133"/>
      <c r="F20" s="133"/>
      <c r="G20" s="157"/>
      <c r="H20" s="105"/>
      <c r="I20" s="96"/>
      <c r="J20" s="96"/>
      <c r="K20" s="112" t="s">
        <v>58</v>
      </c>
      <c r="L20" s="150"/>
      <c r="M20" s="152" t="s">
        <v>61</v>
      </c>
      <c r="N20" s="153"/>
      <c r="O20" s="144"/>
      <c r="P20" s="84"/>
      <c r="Q20" s="85"/>
      <c r="R20" s="93"/>
      <c r="S20" s="154"/>
      <c r="T20" s="154"/>
      <c r="U20" s="154"/>
      <c r="V20" s="154"/>
      <c r="W20" s="154"/>
      <c r="X20" s="154"/>
      <c r="Y20" s="154"/>
      <c r="Z20" s="154"/>
    </row>
    <row r="21" spans="1:43" ht="30" customHeight="1" thickTop="1" x14ac:dyDescent="0.45">
      <c r="A21" s="154"/>
      <c r="B21" s="2" t="s">
        <v>28</v>
      </c>
      <c r="C21" s="15">
        <v>1</v>
      </c>
      <c r="D21" s="5" t="s">
        <v>2</v>
      </c>
      <c r="E21" s="133"/>
      <c r="F21" s="133"/>
      <c r="G21" s="157"/>
      <c r="H21" s="106" t="s">
        <v>56</v>
      </c>
      <c r="I21" s="107"/>
      <c r="J21" s="108"/>
      <c r="K21" s="33">
        <f>K12</f>
        <v>0.28143712574850305</v>
      </c>
      <c r="L21" s="9" t="s">
        <v>12</v>
      </c>
      <c r="M21" s="151">
        <f>(K21*(($C$21*$C$22)/($C$21+$C$22)))*$C$25/$C$26</f>
        <v>2.9940119760479047</v>
      </c>
      <c r="N21" s="7" t="s">
        <v>3</v>
      </c>
      <c r="O21" s="144"/>
      <c r="P21" s="86" t="s">
        <v>46</v>
      </c>
      <c r="Q21" s="94"/>
      <c r="R21" s="95"/>
      <c r="S21" s="154"/>
      <c r="T21" s="154"/>
      <c r="U21" s="154"/>
      <c r="V21" s="154"/>
      <c r="W21" s="154"/>
      <c r="X21" s="154"/>
      <c r="Y21" s="154"/>
      <c r="Z21" s="154"/>
    </row>
    <row r="22" spans="1:43" ht="30" customHeight="1" thickBot="1" x14ac:dyDescent="0.5">
      <c r="A22" s="154"/>
      <c r="B22" s="3" t="s">
        <v>29</v>
      </c>
      <c r="C22" s="113">
        <v>1</v>
      </c>
      <c r="D22" s="6" t="s">
        <v>2</v>
      </c>
      <c r="E22" s="133"/>
      <c r="F22" s="133"/>
      <c r="G22" s="157"/>
      <c r="H22" s="109" t="s">
        <v>57</v>
      </c>
      <c r="I22" s="110"/>
      <c r="J22" s="111"/>
      <c r="K22" s="34">
        <f t="shared" ref="K22:K26" si="3">K13</f>
        <v>0.17602996254681649</v>
      </c>
      <c r="L22" s="10" t="s">
        <v>12</v>
      </c>
      <c r="M22" s="36">
        <f t="shared" ref="M22:M26" si="4">(K22*(($C$21*$C$22)/($C$21+$C$22)))*$C$25/$C$26</f>
        <v>1.8726591760299627</v>
      </c>
      <c r="N22" s="6" t="s">
        <v>3</v>
      </c>
      <c r="O22" s="144"/>
      <c r="P22" s="87"/>
      <c r="Q22" s="96"/>
      <c r="R22" s="97"/>
      <c r="S22" s="154"/>
      <c r="T22" s="154"/>
      <c r="U22" s="154"/>
      <c r="V22" s="154"/>
      <c r="W22" s="154"/>
      <c r="X22" s="154"/>
      <c r="Y22" s="154"/>
      <c r="Z22" s="154"/>
    </row>
    <row r="23" spans="1:43" ht="33" thickTop="1" thickBot="1" x14ac:dyDescent="0.55000000000000004">
      <c r="A23" s="154"/>
      <c r="B23" s="114" t="s">
        <v>30</v>
      </c>
      <c r="C23" s="115">
        <v>0.65</v>
      </c>
      <c r="D23" s="13" t="s">
        <v>3</v>
      </c>
      <c r="E23" s="133"/>
      <c r="F23" s="133"/>
      <c r="G23" s="157"/>
      <c r="H23" s="143"/>
      <c r="I23" s="144"/>
      <c r="J23" s="144"/>
      <c r="K23" s="34">
        <f t="shared" si="3"/>
        <v>0.10755148741418764</v>
      </c>
      <c r="L23" s="10" t="s">
        <v>12</v>
      </c>
      <c r="M23" s="36">
        <f t="shared" si="4"/>
        <v>1.1441647597254005</v>
      </c>
      <c r="N23" s="6" t="s">
        <v>3</v>
      </c>
      <c r="O23" s="144"/>
      <c r="P23" s="87"/>
      <c r="Q23" s="98" t="s">
        <v>47</v>
      </c>
      <c r="R23" s="97"/>
      <c r="S23" s="154"/>
      <c r="T23" s="154"/>
      <c r="U23" s="154"/>
      <c r="V23" s="154"/>
      <c r="W23" s="154"/>
      <c r="X23" s="154"/>
      <c r="Y23" s="154"/>
      <c r="Z23" s="154"/>
    </row>
    <row r="24" spans="1:43" ht="30" customHeight="1" thickTop="1" thickBot="1" x14ac:dyDescent="0.55000000000000004">
      <c r="A24" s="154"/>
      <c r="B24" s="114" t="s">
        <v>31</v>
      </c>
      <c r="C24" s="116">
        <v>0.6</v>
      </c>
      <c r="D24" s="13" t="s">
        <v>3</v>
      </c>
      <c r="E24" s="133"/>
      <c r="F24" s="133"/>
      <c r="G24" s="157"/>
      <c r="H24" s="143"/>
      <c r="I24" s="144"/>
      <c r="J24" s="144"/>
      <c r="K24" s="34">
        <f t="shared" si="3"/>
        <v>5.4209919261822385E-2</v>
      </c>
      <c r="L24" s="10" t="s">
        <v>12</v>
      </c>
      <c r="M24" s="36">
        <f t="shared" si="4"/>
        <v>0.57670126874279126</v>
      </c>
      <c r="N24" s="6" t="s">
        <v>3</v>
      </c>
      <c r="O24" s="144"/>
      <c r="P24" s="87"/>
      <c r="Q24" s="99" t="s">
        <v>48</v>
      </c>
      <c r="R24" s="97"/>
      <c r="S24" s="154"/>
      <c r="T24" s="154"/>
      <c r="U24" s="154"/>
      <c r="V24" s="154"/>
      <c r="W24" s="154"/>
      <c r="X24" s="154"/>
      <c r="Y24" s="154"/>
      <c r="Z24" s="154"/>
    </row>
    <row r="25" spans="1:43" ht="30" customHeight="1" thickTop="1" x14ac:dyDescent="0.5">
      <c r="A25" s="154"/>
      <c r="B25" s="3" t="s">
        <v>33</v>
      </c>
      <c r="C25" s="17">
        <v>100</v>
      </c>
      <c r="D25" s="6" t="s">
        <v>2</v>
      </c>
      <c r="E25" s="133"/>
      <c r="F25" s="133"/>
      <c r="G25" s="157"/>
      <c r="H25" s="143"/>
      <c r="I25" s="144"/>
      <c r="J25" s="144"/>
      <c r="K25" s="34">
        <f t="shared" si="3"/>
        <v>2.091677792612372E-2</v>
      </c>
      <c r="L25" s="10" t="s">
        <v>12</v>
      </c>
      <c r="M25" s="36">
        <f t="shared" si="4"/>
        <v>0.22251891410769914</v>
      </c>
      <c r="N25" s="6" t="s">
        <v>3</v>
      </c>
      <c r="O25" s="144"/>
      <c r="P25" s="87"/>
      <c r="Q25" s="98" t="s">
        <v>49</v>
      </c>
      <c r="R25" s="97"/>
      <c r="S25" s="154"/>
      <c r="T25" s="154"/>
      <c r="U25" s="154"/>
      <c r="V25" s="154"/>
      <c r="W25" s="154"/>
      <c r="X25" s="154"/>
      <c r="Y25" s="154"/>
      <c r="Z25" s="154"/>
    </row>
    <row r="26" spans="1:43" ht="30" customHeight="1" thickBot="1" x14ac:dyDescent="0.5">
      <c r="A26" s="154"/>
      <c r="B26" s="3" t="s">
        <v>34</v>
      </c>
      <c r="C26" s="113">
        <v>4.7</v>
      </c>
      <c r="D26" s="6" t="s">
        <v>2</v>
      </c>
      <c r="E26" s="133"/>
      <c r="F26" s="133"/>
      <c r="G26" s="157"/>
      <c r="H26" s="143"/>
      <c r="I26" s="144"/>
      <c r="J26" s="144"/>
      <c r="K26" s="35">
        <f t="shared" si="3"/>
        <v>9.9009900990099011E-3</v>
      </c>
      <c r="L26" s="11" t="s">
        <v>12</v>
      </c>
      <c r="M26" s="37">
        <f t="shared" si="4"/>
        <v>0.10532968190436065</v>
      </c>
      <c r="N26" s="8" t="s">
        <v>3</v>
      </c>
      <c r="O26" s="144"/>
      <c r="P26" s="88"/>
      <c r="Q26" s="89"/>
      <c r="R26" s="100"/>
      <c r="S26" s="154"/>
      <c r="T26" s="154"/>
      <c r="U26" s="154"/>
      <c r="V26" s="154"/>
      <c r="W26" s="154"/>
      <c r="X26" s="154"/>
      <c r="Y26" s="154"/>
      <c r="Z26" s="154"/>
    </row>
    <row r="27" spans="1:43" ht="30" thickTop="1" thickBot="1" x14ac:dyDescent="0.5">
      <c r="A27" s="154"/>
      <c r="B27" s="114" t="s">
        <v>36</v>
      </c>
      <c r="C27" s="115">
        <v>3.4</v>
      </c>
      <c r="D27" s="13" t="s">
        <v>3</v>
      </c>
      <c r="E27" s="133"/>
      <c r="F27" s="133"/>
      <c r="G27" s="157"/>
      <c r="H27" s="143"/>
      <c r="I27" s="144"/>
      <c r="J27" s="144"/>
      <c r="K27" s="149"/>
      <c r="L27" s="144"/>
      <c r="M27" s="144"/>
      <c r="N27" s="144"/>
      <c r="O27" s="144"/>
      <c r="P27" s="144"/>
      <c r="Q27" s="144"/>
      <c r="R27" s="147"/>
      <c r="S27" s="154"/>
      <c r="T27" s="154"/>
      <c r="U27" s="154"/>
      <c r="V27" s="154"/>
      <c r="W27" s="154"/>
      <c r="X27" s="154"/>
      <c r="Y27" s="154"/>
      <c r="Z27" s="154"/>
    </row>
    <row r="28" spans="1:43" ht="30" customHeight="1" thickTop="1" thickBot="1" x14ac:dyDescent="0.5">
      <c r="A28" s="154"/>
      <c r="B28" s="114" t="s">
        <v>37</v>
      </c>
      <c r="C28" s="115">
        <v>2.8</v>
      </c>
      <c r="D28" s="13" t="s">
        <v>3</v>
      </c>
      <c r="E28" s="133"/>
      <c r="F28" s="133"/>
      <c r="G28" s="157"/>
      <c r="H28" s="143"/>
      <c r="I28" s="144"/>
      <c r="J28" s="144"/>
      <c r="K28" s="41" t="s">
        <v>50</v>
      </c>
      <c r="L28" s="42"/>
      <c r="M28" s="39" t="s">
        <v>42</v>
      </c>
      <c r="N28" s="40"/>
      <c r="O28" s="144"/>
      <c r="P28" s="84"/>
      <c r="Q28" s="85"/>
      <c r="R28" s="93"/>
      <c r="S28" s="154"/>
      <c r="T28" s="154"/>
      <c r="U28" s="154"/>
      <c r="V28" s="154"/>
      <c r="W28" s="154"/>
      <c r="X28" s="154"/>
      <c r="Y28" s="154"/>
      <c r="Z28" s="154"/>
    </row>
    <row r="29" spans="1:43" ht="30" customHeight="1" thickTop="1" thickBot="1" x14ac:dyDescent="0.55000000000000004">
      <c r="A29" s="154"/>
      <c r="B29" s="3" t="s">
        <v>38</v>
      </c>
      <c r="C29" s="17">
        <v>10</v>
      </c>
      <c r="D29" s="6" t="s">
        <v>39</v>
      </c>
      <c r="E29" s="133"/>
      <c r="F29" s="133"/>
      <c r="G29" s="157"/>
      <c r="H29" s="143"/>
      <c r="I29" s="144"/>
      <c r="J29" s="144"/>
      <c r="K29" s="83">
        <f>1000*(C27-C28)/C29</f>
        <v>60.000000000000014</v>
      </c>
      <c r="L29" s="80" t="s">
        <v>12</v>
      </c>
      <c r="M29" s="82">
        <f>(K29)*C29*C30/C31/1000</f>
        <v>6.0000000000000018</v>
      </c>
      <c r="N29" s="81" t="s">
        <v>3</v>
      </c>
      <c r="O29" s="144"/>
      <c r="P29" s="90" t="s">
        <v>51</v>
      </c>
      <c r="Q29" s="101"/>
      <c r="R29" s="102"/>
      <c r="S29" s="154"/>
      <c r="T29" s="154"/>
      <c r="U29" s="154"/>
      <c r="V29" s="154"/>
      <c r="W29" s="154"/>
      <c r="X29" s="154"/>
      <c r="Y29" s="154"/>
      <c r="Z29" s="154"/>
    </row>
    <row r="30" spans="1:43" ht="30" customHeight="1" thickTop="1" x14ac:dyDescent="0.45">
      <c r="A30" s="154"/>
      <c r="B30" s="3" t="s">
        <v>40</v>
      </c>
      <c r="C30" s="16">
        <v>100</v>
      </c>
      <c r="D30" s="6" t="s">
        <v>2</v>
      </c>
      <c r="E30" s="133"/>
      <c r="F30" s="133"/>
      <c r="G30" s="157"/>
      <c r="H30" s="143"/>
      <c r="I30" s="144"/>
      <c r="J30" s="144"/>
      <c r="K30" s="144"/>
      <c r="L30" s="144"/>
      <c r="M30" s="144"/>
      <c r="N30" s="144"/>
      <c r="O30" s="144"/>
      <c r="P30" s="87"/>
      <c r="Q30" s="96"/>
      <c r="R30" s="97"/>
      <c r="S30" s="154"/>
      <c r="T30" s="154"/>
      <c r="U30" s="154"/>
      <c r="V30" s="154"/>
      <c r="W30" s="154"/>
      <c r="X30" s="154"/>
      <c r="Y30" s="154"/>
      <c r="Z30" s="154"/>
    </row>
    <row r="31" spans="1:43" ht="30" customHeight="1" thickBot="1" x14ac:dyDescent="0.55000000000000004">
      <c r="A31" s="154"/>
      <c r="B31" s="4" t="s">
        <v>41</v>
      </c>
      <c r="C31" s="18">
        <v>10</v>
      </c>
      <c r="D31" s="8" t="s">
        <v>2</v>
      </c>
      <c r="E31" s="133"/>
      <c r="F31" s="133"/>
      <c r="G31" s="157"/>
      <c r="H31" s="143"/>
      <c r="I31" s="144"/>
      <c r="J31" s="144"/>
      <c r="K31" s="103" t="s">
        <v>53</v>
      </c>
      <c r="L31" s="104"/>
      <c r="M31" s="104"/>
      <c r="N31" s="104"/>
      <c r="O31" s="144"/>
      <c r="P31" s="87"/>
      <c r="Q31" s="98" t="s">
        <v>47</v>
      </c>
      <c r="R31" s="97"/>
      <c r="S31" s="154"/>
      <c r="T31" s="154"/>
      <c r="U31" s="154"/>
      <c r="V31" s="154"/>
      <c r="W31" s="154"/>
      <c r="X31" s="154"/>
      <c r="Y31" s="154"/>
      <c r="Z31" s="154"/>
    </row>
    <row r="32" spans="1:43" ht="30" customHeight="1" thickTop="1" x14ac:dyDescent="0.5">
      <c r="A32" s="154"/>
      <c r="B32" s="140"/>
      <c r="C32" s="138"/>
      <c r="D32" s="138"/>
      <c r="E32" s="138"/>
      <c r="F32" s="139"/>
      <c r="G32" s="157"/>
      <c r="H32" s="143"/>
      <c r="I32" s="144"/>
      <c r="J32" s="144"/>
      <c r="K32" s="104"/>
      <c r="L32" s="104"/>
      <c r="M32" s="104"/>
      <c r="N32" s="104"/>
      <c r="O32" s="144"/>
      <c r="P32" s="87"/>
      <c r="Q32" s="99" t="s">
        <v>48</v>
      </c>
      <c r="R32" s="97"/>
      <c r="S32" s="154"/>
      <c r="T32" s="154"/>
      <c r="U32" s="154"/>
      <c r="V32" s="154"/>
      <c r="W32" s="154"/>
      <c r="X32" s="154"/>
      <c r="Y32" s="154"/>
      <c r="Z32" s="154"/>
    </row>
    <row r="33" spans="1:26" ht="30" customHeight="1" x14ac:dyDescent="0.5">
      <c r="A33" s="154"/>
      <c r="B33" s="126" t="s">
        <v>59</v>
      </c>
      <c r="C33" s="127"/>
      <c r="D33" s="127"/>
      <c r="E33" s="127"/>
      <c r="F33" s="128"/>
      <c r="G33" s="157"/>
      <c r="H33" s="143"/>
      <c r="I33" s="144"/>
      <c r="J33" s="144"/>
      <c r="K33" s="103" t="s">
        <v>54</v>
      </c>
      <c r="L33" s="104"/>
      <c r="M33" s="104"/>
      <c r="N33" s="104"/>
      <c r="O33" s="144"/>
      <c r="P33" s="87"/>
      <c r="Q33" s="98" t="s">
        <v>52</v>
      </c>
      <c r="R33" s="97"/>
      <c r="S33" s="154"/>
      <c r="T33" s="154"/>
      <c r="U33" s="154"/>
      <c r="V33" s="154"/>
      <c r="W33" s="154"/>
      <c r="X33" s="154"/>
      <c r="Y33" s="154"/>
      <c r="Z33" s="154"/>
    </row>
    <row r="34" spans="1:26" ht="15.75" thickBot="1" x14ac:dyDescent="0.3">
      <c r="A34" s="154"/>
      <c r="B34" s="105"/>
      <c r="C34" s="96"/>
      <c r="D34" s="96"/>
      <c r="E34" s="96"/>
      <c r="F34" s="97"/>
      <c r="G34" s="157"/>
      <c r="H34" s="143"/>
      <c r="I34" s="144"/>
      <c r="J34" s="144"/>
      <c r="K34" s="104"/>
      <c r="L34" s="104"/>
      <c r="M34" s="104"/>
      <c r="N34" s="104"/>
      <c r="O34" s="144"/>
      <c r="P34" s="88"/>
      <c r="Q34" s="89"/>
      <c r="R34" s="100"/>
      <c r="S34" s="154"/>
      <c r="T34" s="154"/>
      <c r="U34" s="154"/>
      <c r="V34" s="154"/>
      <c r="W34" s="154"/>
      <c r="X34" s="154"/>
      <c r="Y34" s="154"/>
      <c r="Z34" s="154"/>
    </row>
    <row r="35" spans="1:26" ht="15.75" customHeight="1" thickTop="1" x14ac:dyDescent="0.25">
      <c r="A35" s="154"/>
      <c r="B35" s="129" t="s">
        <v>60</v>
      </c>
      <c r="C35" s="91"/>
      <c r="D35" s="91"/>
      <c r="E35" s="91"/>
      <c r="F35" s="130"/>
      <c r="G35" s="157"/>
      <c r="H35" s="143"/>
      <c r="I35" s="144"/>
      <c r="J35" s="144"/>
      <c r="K35" s="96" t="s">
        <v>55</v>
      </c>
      <c r="L35" s="96"/>
      <c r="M35" s="96"/>
      <c r="N35" s="96"/>
      <c r="O35" s="144"/>
      <c r="P35" s="144"/>
      <c r="Q35" s="144"/>
      <c r="R35" s="147"/>
      <c r="S35" s="154"/>
      <c r="T35" s="154"/>
      <c r="U35" s="154"/>
      <c r="V35" s="154"/>
      <c r="W35" s="154"/>
      <c r="X35" s="154"/>
      <c r="Y35" s="154"/>
      <c r="Z35" s="154"/>
    </row>
    <row r="36" spans="1:26" x14ac:dyDescent="0.25">
      <c r="A36" s="154"/>
      <c r="B36" s="131"/>
      <c r="C36" s="91"/>
      <c r="D36" s="91"/>
      <c r="E36" s="91"/>
      <c r="F36" s="130"/>
      <c r="G36" s="157"/>
      <c r="H36" s="143"/>
      <c r="I36" s="144"/>
      <c r="J36" s="144"/>
      <c r="K36" s="144"/>
      <c r="L36" s="144"/>
      <c r="M36" s="144"/>
      <c r="N36" s="144"/>
      <c r="O36" s="144"/>
      <c r="P36" s="144"/>
      <c r="Q36" s="144"/>
      <c r="R36" s="147"/>
      <c r="S36" s="154"/>
      <c r="T36" s="154"/>
      <c r="U36" s="154"/>
      <c r="V36" s="154"/>
      <c r="W36" s="154"/>
      <c r="X36" s="154"/>
      <c r="Y36" s="154"/>
      <c r="Z36" s="154"/>
    </row>
    <row r="37" spans="1:26" x14ac:dyDescent="0.25">
      <c r="A37" s="154"/>
      <c r="B37" s="131"/>
      <c r="C37" s="91"/>
      <c r="D37" s="91"/>
      <c r="E37" s="91"/>
      <c r="F37" s="130"/>
      <c r="G37" s="157"/>
      <c r="H37" s="143"/>
      <c r="I37" s="144"/>
      <c r="J37" s="144"/>
      <c r="K37" s="144"/>
      <c r="L37" s="144"/>
      <c r="M37" s="144"/>
      <c r="N37" s="144"/>
      <c r="O37" s="144"/>
      <c r="P37" s="144"/>
      <c r="Q37" s="144"/>
      <c r="R37" s="147"/>
      <c r="S37" s="154"/>
      <c r="T37" s="154"/>
      <c r="U37" s="154"/>
      <c r="V37" s="154"/>
      <c r="W37" s="154"/>
      <c r="X37" s="154"/>
      <c r="Y37" s="154"/>
      <c r="Z37" s="154"/>
    </row>
    <row r="38" spans="1:26" x14ac:dyDescent="0.25">
      <c r="A38" s="154"/>
      <c r="B38" s="140"/>
      <c r="C38" s="138"/>
      <c r="D38" s="138"/>
      <c r="E38" s="138"/>
      <c r="F38" s="139"/>
      <c r="G38" s="157"/>
      <c r="H38" s="143"/>
      <c r="I38" s="144"/>
      <c r="J38" s="144"/>
      <c r="K38" s="144"/>
      <c r="L38" s="144"/>
      <c r="M38" s="144"/>
      <c r="N38" s="144"/>
      <c r="O38" s="144"/>
      <c r="P38" s="144"/>
      <c r="Q38" s="144"/>
      <c r="R38" s="147"/>
      <c r="S38" s="154"/>
      <c r="T38" s="154"/>
      <c r="U38" s="154"/>
      <c r="V38" s="154"/>
      <c r="W38" s="154"/>
      <c r="X38" s="154"/>
      <c r="Y38" s="154"/>
      <c r="Z38" s="154"/>
    </row>
    <row r="39" spans="1:26" ht="15.75" thickBot="1" x14ac:dyDescent="0.3">
      <c r="A39" s="154"/>
      <c r="B39" s="141"/>
      <c r="C39" s="135"/>
      <c r="D39" s="135"/>
      <c r="E39" s="135"/>
      <c r="F39" s="136"/>
      <c r="G39" s="157"/>
      <c r="H39" s="145"/>
      <c r="I39" s="146"/>
      <c r="J39" s="146"/>
      <c r="K39" s="146"/>
      <c r="L39" s="146"/>
      <c r="M39" s="146"/>
      <c r="N39" s="146"/>
      <c r="O39" s="146"/>
      <c r="P39" s="146"/>
      <c r="Q39" s="146"/>
      <c r="R39" s="148"/>
      <c r="S39" s="154"/>
      <c r="T39" s="154"/>
      <c r="U39" s="154"/>
      <c r="V39" s="154"/>
      <c r="W39" s="154"/>
      <c r="X39" s="154"/>
      <c r="Y39" s="154"/>
      <c r="Z39" s="154"/>
    </row>
    <row r="40" spans="1:26" s="154" customFormat="1" ht="15.75" thickTop="1" x14ac:dyDescent="0.25"/>
    <row r="41" spans="1:26" s="154" customFormat="1" x14ac:dyDescent="0.25"/>
    <row r="42" spans="1:26" s="154" customFormat="1" x14ac:dyDescent="0.25"/>
    <row r="43" spans="1:26" s="154" customFormat="1" x14ac:dyDescent="0.25"/>
    <row r="44" spans="1:26" s="154" customFormat="1" x14ac:dyDescent="0.25"/>
    <row r="45" spans="1:26" s="154" customFormat="1" x14ac:dyDescent="0.25"/>
    <row r="46" spans="1:26" s="154" customFormat="1" x14ac:dyDescent="0.25"/>
    <row r="47" spans="1:26" s="154" customFormat="1" x14ac:dyDescent="0.25"/>
    <row r="48" spans="1:26" s="154" customFormat="1" x14ac:dyDescent="0.25"/>
    <row r="49" s="154" customFormat="1" x14ac:dyDescent="0.25"/>
    <row r="50" s="154" customFormat="1" x14ac:dyDescent="0.25"/>
    <row r="51" s="154" customFormat="1" x14ac:dyDescent="0.25"/>
    <row r="52" s="154" customFormat="1" x14ac:dyDescent="0.25"/>
    <row r="53" s="154" customFormat="1" x14ac:dyDescent="0.25"/>
    <row r="54" s="154" customFormat="1" x14ac:dyDescent="0.25"/>
    <row r="55" s="154" customFormat="1" x14ac:dyDescent="0.25"/>
    <row r="56" s="154" customFormat="1" x14ac:dyDescent="0.25"/>
    <row r="57" s="154" customFormat="1" x14ac:dyDescent="0.25"/>
    <row r="58" s="154" customFormat="1" x14ac:dyDescent="0.25"/>
    <row r="59" s="154" customFormat="1" x14ac:dyDescent="0.25"/>
    <row r="60" s="154" customFormat="1" x14ac:dyDescent="0.25"/>
    <row r="61" s="154" customFormat="1" x14ac:dyDescent="0.25"/>
    <row r="62" s="154" customFormat="1" x14ac:dyDescent="0.25"/>
    <row r="63" s="154" customFormat="1" x14ac:dyDescent="0.25"/>
    <row r="64" s="154" customFormat="1" x14ac:dyDescent="0.25"/>
    <row r="65" s="154" customFormat="1" x14ac:dyDescent="0.25"/>
    <row r="66" s="154" customFormat="1" x14ac:dyDescent="0.25"/>
    <row r="67" s="154" customFormat="1" x14ac:dyDescent="0.25"/>
    <row r="68" s="154" customFormat="1" x14ac:dyDescent="0.25"/>
    <row r="69" s="154" customFormat="1" x14ac:dyDescent="0.25"/>
    <row r="70" s="154" customFormat="1" x14ac:dyDescent="0.25"/>
    <row r="71" s="154" customFormat="1" x14ac:dyDescent="0.25"/>
    <row r="72" s="154" customFormat="1" x14ac:dyDescent="0.25"/>
    <row r="73" s="154" customFormat="1" x14ac:dyDescent="0.25"/>
    <row r="74" s="154" customFormat="1" x14ac:dyDescent="0.25"/>
    <row r="75" s="154" customFormat="1" x14ac:dyDescent="0.25"/>
    <row r="76" s="154" customFormat="1" x14ac:dyDescent="0.25"/>
    <row r="77" s="154" customFormat="1" x14ac:dyDescent="0.25"/>
    <row r="78" s="154" customFormat="1" x14ac:dyDescent="0.25"/>
    <row r="79" s="154" customFormat="1" x14ac:dyDescent="0.25"/>
    <row r="80" s="154" customFormat="1" x14ac:dyDescent="0.25"/>
    <row r="81" s="154" customFormat="1" x14ac:dyDescent="0.25"/>
    <row r="82" s="154" customFormat="1" x14ac:dyDescent="0.25"/>
    <row r="83" s="154" customFormat="1" x14ac:dyDescent="0.25"/>
    <row r="84" s="154" customFormat="1" x14ac:dyDescent="0.25"/>
    <row r="85" s="154" customFormat="1" x14ac:dyDescent="0.25"/>
    <row r="86" s="154" customFormat="1" x14ac:dyDescent="0.25"/>
    <row r="87" s="154" customFormat="1" x14ac:dyDescent="0.25"/>
    <row r="88" s="154" customFormat="1" x14ac:dyDescent="0.25"/>
    <row r="89" s="154" customFormat="1" x14ac:dyDescent="0.25"/>
    <row r="90" s="154" customFormat="1" x14ac:dyDescent="0.25"/>
    <row r="91" s="154" customFormat="1" x14ac:dyDescent="0.25"/>
    <row r="92" s="154" customFormat="1" x14ac:dyDescent="0.25"/>
    <row r="93" s="154" customFormat="1" x14ac:dyDescent="0.25"/>
    <row r="94" s="154" customFormat="1" x14ac:dyDescent="0.25"/>
    <row r="95" s="154" customFormat="1" x14ac:dyDescent="0.25"/>
    <row r="96" s="154" customFormat="1" x14ac:dyDescent="0.25"/>
    <row r="97" s="154" customFormat="1" x14ac:dyDescent="0.25"/>
    <row r="98" s="154" customFormat="1" x14ac:dyDescent="0.25"/>
    <row r="99" s="154" customFormat="1" x14ac:dyDescent="0.25"/>
    <row r="100" s="154" customFormat="1" x14ac:dyDescent="0.25"/>
    <row r="101" s="154" customFormat="1" x14ac:dyDescent="0.25"/>
    <row r="102" s="154" customFormat="1" x14ac:dyDescent="0.25"/>
    <row r="103" s="154" customFormat="1" x14ac:dyDescent="0.25"/>
    <row r="104" s="154" customFormat="1" x14ac:dyDescent="0.25"/>
    <row r="105" s="154" customFormat="1" x14ac:dyDescent="0.25"/>
    <row r="106" s="154" customFormat="1" x14ac:dyDescent="0.25"/>
    <row r="107" s="154" customFormat="1" x14ac:dyDescent="0.25"/>
    <row r="108" s="154" customFormat="1" x14ac:dyDescent="0.25"/>
    <row r="109" s="154" customFormat="1" x14ac:dyDescent="0.25"/>
    <row r="110" s="154" customFormat="1" x14ac:dyDescent="0.25"/>
    <row r="111" s="154" customFormat="1" x14ac:dyDescent="0.25"/>
    <row r="112" s="154" customFormat="1" x14ac:dyDescent="0.25"/>
    <row r="113" s="154" customFormat="1" x14ac:dyDescent="0.25"/>
    <row r="114" s="154" customFormat="1" x14ac:dyDescent="0.25"/>
    <row r="115" s="154" customFormat="1" x14ac:dyDescent="0.25"/>
    <row r="116" s="154" customFormat="1" x14ac:dyDescent="0.25"/>
    <row r="117" s="154" customFormat="1" x14ac:dyDescent="0.25"/>
    <row r="118" s="154" customFormat="1" x14ac:dyDescent="0.25"/>
    <row r="119" s="154" customFormat="1" x14ac:dyDescent="0.25"/>
    <row r="120" s="154" customFormat="1" x14ac:dyDescent="0.25"/>
    <row r="121" s="154" customFormat="1" x14ac:dyDescent="0.25"/>
    <row r="122" s="154" customFormat="1" x14ac:dyDescent="0.25"/>
    <row r="123" s="154" customFormat="1" x14ac:dyDescent="0.25"/>
    <row r="124" s="154" customFormat="1" x14ac:dyDescent="0.25"/>
    <row r="125" s="154" customFormat="1" x14ac:dyDescent="0.25"/>
    <row r="126" s="154" customFormat="1" x14ac:dyDescent="0.25"/>
    <row r="127" s="154" customFormat="1" x14ac:dyDescent="0.25"/>
    <row r="128" s="154" customFormat="1" x14ac:dyDescent="0.25"/>
    <row r="129" spans="1:1" s="154" customFormat="1" x14ac:dyDescent="0.25"/>
    <row r="130" spans="1:1" s="154" customFormat="1" x14ac:dyDescent="0.25"/>
    <row r="131" spans="1:1" s="154" customFormat="1" x14ac:dyDescent="0.25"/>
    <row r="132" spans="1:1" s="154" customFormat="1" x14ac:dyDescent="0.25"/>
    <row r="133" spans="1:1" s="154" customFormat="1" x14ac:dyDescent="0.25"/>
    <row r="134" spans="1:1" s="154" customFormat="1" x14ac:dyDescent="0.25"/>
    <row r="135" spans="1:1" x14ac:dyDescent="0.25">
      <c r="A135" s="154"/>
    </row>
    <row r="136" spans="1:1" x14ac:dyDescent="0.25">
      <c r="A136" s="154"/>
    </row>
    <row r="137" spans="1:1" x14ac:dyDescent="0.25">
      <c r="A137" s="154"/>
    </row>
    <row r="138" spans="1:1" x14ac:dyDescent="0.25">
      <c r="A138" s="154"/>
    </row>
    <row r="139" spans="1:1" x14ac:dyDescent="0.25">
      <c r="A139" s="154"/>
    </row>
    <row r="140" spans="1:1" x14ac:dyDescent="0.25">
      <c r="A140" s="154"/>
    </row>
    <row r="141" spans="1:1" x14ac:dyDescent="0.25">
      <c r="A141" s="154"/>
    </row>
  </sheetData>
  <mergeCells count="29">
    <mergeCell ref="B35:F37"/>
    <mergeCell ref="M20:N20"/>
    <mergeCell ref="M2:V5"/>
    <mergeCell ref="K33:N34"/>
    <mergeCell ref="H21:J21"/>
    <mergeCell ref="H22:J22"/>
    <mergeCell ref="B18:D20"/>
    <mergeCell ref="B33:F33"/>
    <mergeCell ref="B2:L2"/>
    <mergeCell ref="K10:N10"/>
    <mergeCell ref="O10:R10"/>
    <mergeCell ref="K31:N32"/>
    <mergeCell ref="E3:I5"/>
    <mergeCell ref="B8:D11"/>
    <mergeCell ref="K20:L20"/>
    <mergeCell ref="O12:O17"/>
    <mergeCell ref="P12:P17"/>
    <mergeCell ref="K11:L11"/>
    <mergeCell ref="O11:P11"/>
    <mergeCell ref="M11:N11"/>
    <mergeCell ref="H9:R9"/>
    <mergeCell ref="M28:N28"/>
    <mergeCell ref="P21:R21"/>
    <mergeCell ref="K28:L28"/>
    <mergeCell ref="P29:R29"/>
    <mergeCell ref="H11:J11"/>
    <mergeCell ref="Q12:Q17"/>
    <mergeCell ref="R12:R17"/>
    <mergeCell ref="Q11:R11"/>
  </mergeCells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777D-C473-4F87-9EBD-DA3F03ED2562}">
  <dimension ref="D3:O13"/>
  <sheetViews>
    <sheetView workbookViewId="0">
      <selection activeCell="D3" sqref="D3:F13"/>
    </sheetView>
  </sheetViews>
  <sheetFormatPr baseColWidth="10" defaultRowHeight="15" x14ac:dyDescent="0.25"/>
  <sheetData>
    <row r="3" spans="4:15" ht="30" customHeight="1" thickBot="1" x14ac:dyDescent="0.5">
      <c r="D3" t="s">
        <v>28</v>
      </c>
      <c r="E3">
        <v>1</v>
      </c>
      <c r="F3" s="6" t="s">
        <v>2</v>
      </c>
      <c r="K3" t="s">
        <v>32</v>
      </c>
      <c r="L3" s="31">
        <f>(E5-E6)/((E3*E4)/(E3+E4))</f>
        <v>0.10000000000000009</v>
      </c>
      <c r="M3" s="9" t="s">
        <v>12</v>
      </c>
    </row>
    <row r="4" spans="4:15" ht="30" customHeight="1" thickTop="1" thickBot="1" x14ac:dyDescent="0.65">
      <c r="D4" t="s">
        <v>29</v>
      </c>
      <c r="E4">
        <v>1</v>
      </c>
      <c r="F4" s="6" t="s">
        <v>2</v>
      </c>
      <c r="K4" t="s">
        <v>35</v>
      </c>
      <c r="L4" s="31">
        <f>L3*E7/E8</f>
        <v>2.1276595744680868</v>
      </c>
      <c r="M4" s="5" t="s">
        <v>3</v>
      </c>
      <c r="O4" s="32" t="s">
        <v>43</v>
      </c>
    </row>
    <row r="5" spans="4:15" ht="30" customHeight="1" thickTop="1" thickBot="1" x14ac:dyDescent="0.5">
      <c r="D5" t="s">
        <v>30</v>
      </c>
      <c r="E5">
        <v>0.65</v>
      </c>
      <c r="F5" s="5" t="s">
        <v>3</v>
      </c>
    </row>
    <row r="6" spans="4:15" ht="30" customHeight="1" thickTop="1" thickBot="1" x14ac:dyDescent="0.5">
      <c r="D6" t="s">
        <v>31</v>
      </c>
      <c r="E6">
        <v>0.6</v>
      </c>
      <c r="F6" s="5" t="s">
        <v>3</v>
      </c>
      <c r="K6" t="s">
        <v>27</v>
      </c>
      <c r="L6">
        <f>(E9-E10)*1000/E11</f>
        <v>60.000000000000014</v>
      </c>
      <c r="M6" s="9" t="s">
        <v>12</v>
      </c>
    </row>
    <row r="7" spans="4:15" ht="30" customHeight="1" thickTop="1" x14ac:dyDescent="0.6">
      <c r="D7" t="s">
        <v>33</v>
      </c>
      <c r="E7">
        <v>100</v>
      </c>
      <c r="F7" s="6" t="s">
        <v>2</v>
      </c>
      <c r="K7" t="s">
        <v>42</v>
      </c>
      <c r="L7">
        <f>L6*E11*E12/E13/1000</f>
        <v>6.0000000000000018</v>
      </c>
      <c r="M7" s="5" t="s">
        <v>3</v>
      </c>
      <c r="O7" s="32" t="s">
        <v>44</v>
      </c>
    </row>
    <row r="8" spans="4:15" ht="30" customHeight="1" thickBot="1" x14ac:dyDescent="0.5">
      <c r="D8" t="s">
        <v>34</v>
      </c>
      <c r="E8">
        <v>4.7</v>
      </c>
      <c r="F8" s="6" t="s">
        <v>2</v>
      </c>
    </row>
    <row r="9" spans="4:15" ht="30" customHeight="1" thickTop="1" thickBot="1" x14ac:dyDescent="0.5">
      <c r="D9" t="s">
        <v>36</v>
      </c>
      <c r="E9">
        <v>3.4</v>
      </c>
      <c r="F9" s="5" t="s">
        <v>3</v>
      </c>
    </row>
    <row r="10" spans="4:15" ht="30" customHeight="1" thickTop="1" x14ac:dyDescent="0.45">
      <c r="D10" t="s">
        <v>37</v>
      </c>
      <c r="E10">
        <v>2.8</v>
      </c>
      <c r="F10" s="5" t="s">
        <v>3</v>
      </c>
    </row>
    <row r="11" spans="4:15" ht="30" customHeight="1" x14ac:dyDescent="0.45">
      <c r="D11" t="s">
        <v>38</v>
      </c>
      <c r="E11">
        <v>10</v>
      </c>
      <c r="F11" s="1" t="s">
        <v>39</v>
      </c>
    </row>
    <row r="12" spans="4:15" ht="30" customHeight="1" x14ac:dyDescent="0.45">
      <c r="D12" t="s">
        <v>40</v>
      </c>
      <c r="E12">
        <v>100</v>
      </c>
      <c r="F12" s="6" t="s">
        <v>2</v>
      </c>
      <c r="K12" t="s">
        <v>45</v>
      </c>
    </row>
    <row r="13" spans="4:15" ht="30" customHeight="1" x14ac:dyDescent="0.45">
      <c r="D13" t="s">
        <v>41</v>
      </c>
      <c r="E13">
        <v>10</v>
      </c>
      <c r="F13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IB IC VCE</vt:lpstr>
      <vt:lpstr>Conversions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dcterms:created xsi:type="dcterms:W3CDTF">2026-06-30T14:38:46Z</dcterms:created>
  <dcterms:modified xsi:type="dcterms:W3CDTF">2026-07-04T10:16:00Z</dcterms:modified>
</cp:coreProperties>
</file>